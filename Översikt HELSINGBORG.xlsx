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13467-2023</t>
        </is>
      </c>
      <c r="B2" s="1" t="n">
        <v>45005</v>
      </c>
      <c r="C2" s="1" t="n">
        <v>46065</v>
      </c>
      <c r="D2" t="inlineStr">
        <is>
          <t>SKÅNE LÄN</t>
        </is>
      </c>
      <c r="E2" t="inlineStr">
        <is>
          <t>HELSINGBORG</t>
        </is>
      </c>
      <c r="G2" t="n">
        <v>2.3</v>
      </c>
      <c r="H2" t="n">
        <v>2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Gulsparv
Hypoxylon petriniae
Kråka
Grå skärelav
Gulnål</t>
        </is>
      </c>
      <c r="S2">
        <f>HYPERLINK("https://klasma.github.io/Logging_1283/artfynd/A 13467-2023 artfynd.xlsx", "A 13467-2023")</f>
        <v/>
      </c>
      <c r="T2">
        <f>HYPERLINK("https://klasma.github.io/Logging_1283/kartor/A 13467-2023 karta.png", "A 13467-2023")</f>
        <v/>
      </c>
      <c r="V2">
        <f>HYPERLINK("https://klasma.github.io/Logging_1283/klagomål/A 13467-2023 FSC-klagomål.docx", "A 13467-2023")</f>
        <v/>
      </c>
      <c r="W2">
        <f>HYPERLINK("https://klasma.github.io/Logging_1283/klagomålsmail/A 13467-2023 FSC-klagomål mail.docx", "A 13467-2023")</f>
        <v/>
      </c>
      <c r="X2">
        <f>HYPERLINK("https://klasma.github.io/Logging_1283/tillsyn/A 13467-2023 tillsynsbegäran.docx", "A 13467-2023")</f>
        <v/>
      </c>
      <c r="Y2">
        <f>HYPERLINK("https://klasma.github.io/Logging_1283/tillsynsmail/A 13467-2023 tillsynsbegäran mail.docx", "A 13467-2023")</f>
        <v/>
      </c>
      <c r="Z2">
        <f>HYPERLINK("https://klasma.github.io/Logging_1283/fåglar/A 13467-2023 prioriterade fågelarter.docx", "A 13467-2023")</f>
        <v/>
      </c>
    </row>
    <row r="3" ht="15" customHeight="1">
      <c r="A3" t="inlineStr">
        <is>
          <t>A 45325-2025</t>
        </is>
      </c>
      <c r="B3" s="1" t="n">
        <v>45922</v>
      </c>
      <c r="C3" s="1" t="n">
        <v>46065</v>
      </c>
      <c r="D3" t="inlineStr">
        <is>
          <t>SKÅNE LÄN</t>
        </is>
      </c>
      <c r="E3" t="inlineStr">
        <is>
          <t>HELSINGBORG</t>
        </is>
      </c>
      <c r="G3" t="n">
        <v>1.6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Nordlig buksimmare
Större vattensalamander
Åkergroda
Mindre vattensalamander
Vanlig groda</t>
        </is>
      </c>
      <c r="S3">
        <f>HYPERLINK("https://klasma.github.io/Logging_1283/artfynd/A 45325-2025 artfynd.xlsx", "A 45325-2025")</f>
        <v/>
      </c>
      <c r="T3">
        <f>HYPERLINK("https://klasma.github.io/Logging_1283/kartor/A 45325-2025 karta.png", "A 45325-2025")</f>
        <v/>
      </c>
      <c r="V3">
        <f>HYPERLINK("https://klasma.github.io/Logging_1283/klagomål/A 45325-2025 FSC-klagomål.docx", "A 45325-2025")</f>
        <v/>
      </c>
      <c r="W3">
        <f>HYPERLINK("https://klasma.github.io/Logging_1283/klagomålsmail/A 45325-2025 FSC-klagomål mail.docx", "A 45325-2025")</f>
        <v/>
      </c>
      <c r="X3">
        <f>HYPERLINK("https://klasma.github.io/Logging_1283/tillsyn/A 45325-2025 tillsynsbegäran.docx", "A 45325-2025")</f>
        <v/>
      </c>
      <c r="Y3">
        <f>HYPERLINK("https://klasma.github.io/Logging_1283/tillsynsmail/A 45325-2025 tillsynsbegäran mail.docx", "A 45325-2025")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46065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46065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5792-2024</t>
        </is>
      </c>
      <c r="B6" s="1" t="n">
        <v>45335</v>
      </c>
      <c r="C6" s="1" t="n">
        <v>46065</v>
      </c>
      <c r="D6" t="inlineStr">
        <is>
          <t>SKÅNE LÄN</t>
        </is>
      </c>
      <c r="E6" t="inlineStr">
        <is>
          <t>HELSINGBORG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13651-2023</t>
        </is>
      </c>
      <c r="B7" s="1" t="n">
        <v>45006</v>
      </c>
      <c r="C7" s="1" t="n">
        <v>46065</v>
      </c>
      <c r="D7" t="inlineStr">
        <is>
          <t>SKÅNE LÄN</t>
        </is>
      </c>
      <c r="E7" t="inlineStr">
        <is>
          <t>HELSINGBORG</t>
        </is>
      </c>
      <c r="G7" t="n">
        <v>2.2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12651-2022</t>
        </is>
      </c>
      <c r="B8" s="1" t="n">
        <v>44641</v>
      </c>
      <c r="C8" s="1" t="n">
        <v>46065</v>
      </c>
      <c r="D8" t="inlineStr">
        <is>
          <t>SKÅNE LÄN</t>
        </is>
      </c>
      <c r="E8" t="inlineStr">
        <is>
          <t>HELSINGBORG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2593-2024</t>
        </is>
      </c>
      <c r="B9" s="1" t="n">
        <v>45313.69204861111</v>
      </c>
      <c r="C9" s="1" t="n">
        <v>46065</v>
      </c>
      <c r="D9" t="inlineStr">
        <is>
          <t>SKÅNE LÄN</t>
        </is>
      </c>
      <c r="E9" t="inlineStr">
        <is>
          <t>HELSINGBORG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7333-2025</t>
        </is>
      </c>
      <c r="B10" s="1" t="n">
        <v>45703.35899305555</v>
      </c>
      <c r="C10" s="1" t="n">
        <v>46065</v>
      </c>
      <c r="D10" t="inlineStr">
        <is>
          <t>SKÅNE LÄN</t>
        </is>
      </c>
      <c r="E10" t="inlineStr">
        <is>
          <t>HELSINGBORG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35642-2023</t>
        </is>
      </c>
      <c r="B11" s="1" t="n">
        <v>45147</v>
      </c>
      <c r="C11" s="1" t="n">
        <v>46065</v>
      </c>
      <c r="D11" t="inlineStr">
        <is>
          <t>SKÅNE LÄN</t>
        </is>
      </c>
      <c r="E11" t="inlineStr">
        <is>
          <t>HELSINGBORG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28288-2023</t>
        </is>
      </c>
      <c r="B12" s="1" t="n">
        <v>45099.6349537037</v>
      </c>
      <c r="C12" s="1" t="n">
        <v>46065</v>
      </c>
      <c r="D12" t="inlineStr">
        <is>
          <t>SKÅNE LÄN</t>
        </is>
      </c>
      <c r="E12" t="inlineStr">
        <is>
          <t>HELSINGBORG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8194-2025</t>
        </is>
      </c>
      <c r="B13" s="1" t="n">
        <v>45708</v>
      </c>
      <c r="C13" s="1" t="n">
        <v>46065</v>
      </c>
      <c r="D13" t="inlineStr">
        <is>
          <t>SKÅNE LÄN</t>
        </is>
      </c>
      <c r="E13" t="inlineStr">
        <is>
          <t>HELSINGBORG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50997-2025</t>
        </is>
      </c>
      <c r="B14" s="1" t="n">
        <v>45946</v>
      </c>
      <c r="C14" s="1" t="n">
        <v>46065</v>
      </c>
      <c r="D14" t="inlineStr">
        <is>
          <t>SKÅNE LÄN</t>
        </is>
      </c>
      <c r="E14" t="inlineStr">
        <is>
          <t>HELSINGBORG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7814-2026</t>
        </is>
      </c>
      <c r="B15" s="1" t="n">
        <v>46062.61388888889</v>
      </c>
      <c r="C15" s="1" t="n">
        <v>46065</v>
      </c>
      <c r="D15" t="inlineStr">
        <is>
          <t>SKÅNE LÄN</t>
        </is>
      </c>
      <c r="E15" t="inlineStr">
        <is>
          <t>HELSINGBORG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7827-2026</t>
        </is>
      </c>
      <c r="B16" s="1" t="n">
        <v>46062.63958333333</v>
      </c>
      <c r="C16" s="1" t="n">
        <v>46065</v>
      </c>
      <c r="D16" t="inlineStr">
        <is>
          <t>SKÅNE LÄN</t>
        </is>
      </c>
      <c r="E16" t="inlineStr">
        <is>
          <t>HELSINGBORG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2026-02-12T11:06:12Z</dcterms:created>
  <dcterms:modified xmlns:dcterms="http://purl.org/dc/terms/" xmlns:xsi="http://www.w3.org/2001/XMLSchema-instance" xsi:type="dcterms:W3CDTF">2026-02-12T11:06:12Z</dcterms:modified>
</cp:coreProperties>
</file>