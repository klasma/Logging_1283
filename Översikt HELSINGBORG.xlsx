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63942-2020</t>
        </is>
      </c>
      <c r="B2" s="1" t="n">
        <v>44167</v>
      </c>
      <c r="C2" s="1" t="n">
        <v>45916</v>
      </c>
      <c r="D2" t="inlineStr">
        <is>
          <t>SKÅNE LÄN</t>
        </is>
      </c>
      <c r="E2" t="inlineStr">
        <is>
          <t>HELSINGBORG</t>
        </is>
      </c>
      <c r="G2" t="n">
        <v>4.5</v>
      </c>
      <c r="H2" t="n">
        <v>3</v>
      </c>
      <c r="I2" t="n">
        <v>7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9</v>
      </c>
      <c r="P2" t="n">
        <v>2</v>
      </c>
      <c r="Q2" t="n">
        <v>17</v>
      </c>
      <c r="R2" s="2" t="inlineStr">
        <is>
          <t>Grönfink
Stare
Bokvaxskivling
Elegant sköldlav
Hypoxylon petriniae
Hålnunneört
Sydlig sotticka
Tusengömming
Bokhätta
Blanksvart trämyra
Brandticka
Hagfingersvamp
Lömsk flugsvamp
Rikfruktig blemlav
Skuggsprötmossa
Stubbspretmossa
Gråkråka</t>
        </is>
      </c>
      <c r="S2">
        <f>HYPERLINK("https://klasma.github.io/Logging_1283/artfynd/A 63942-2020 artfynd.xlsx", "A 63942-2020")</f>
        <v/>
      </c>
      <c r="T2">
        <f>HYPERLINK("https://klasma.github.io/Logging_1283/kartor/A 63942-2020 karta.png", "A 63942-2020")</f>
        <v/>
      </c>
      <c r="V2">
        <f>HYPERLINK("https://klasma.github.io/Logging_1283/klagomål/A 63942-2020 FSC-klagomål.docx", "A 63942-2020")</f>
        <v/>
      </c>
      <c r="W2">
        <f>HYPERLINK("https://klasma.github.io/Logging_1283/klagomålsmail/A 63942-2020 FSC-klagomål mail.docx", "A 63942-2020")</f>
        <v/>
      </c>
      <c r="X2">
        <f>HYPERLINK("https://klasma.github.io/Logging_1283/tillsyn/A 63942-2020 tillsynsbegäran.docx", "A 63942-2020")</f>
        <v/>
      </c>
      <c r="Y2">
        <f>HYPERLINK("https://klasma.github.io/Logging_1283/tillsynsmail/A 63942-2020 tillsynsbegäran mail.docx", "A 63942-2020")</f>
        <v/>
      </c>
      <c r="Z2">
        <f>HYPERLINK("https://klasma.github.io/Logging_1283/fåglar/A 63942-2020 prioriterade fågelarter.docx", "A 63942-2020")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45916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45916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45916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2593-2024</t>
        </is>
      </c>
      <c r="B6" s="1" t="n">
        <v>45313.69204861111</v>
      </c>
      <c r="C6" s="1" t="n">
        <v>45916</v>
      </c>
      <c r="D6" t="inlineStr">
        <is>
          <t>SKÅNE LÄN</t>
        </is>
      </c>
      <c r="E6" t="inlineStr">
        <is>
          <t>HELSINGBORG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12651-2022</t>
        </is>
      </c>
      <c r="B7" s="1" t="n">
        <v>44641</v>
      </c>
      <c r="C7" s="1" t="n">
        <v>45916</v>
      </c>
      <c r="D7" t="inlineStr">
        <is>
          <t>SKÅNE LÄN</t>
        </is>
      </c>
      <c r="E7" t="inlineStr">
        <is>
          <t>HELSINGBORG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28250-2023</t>
        </is>
      </c>
      <c r="B8" s="1" t="n">
        <v>45099.60018518518</v>
      </c>
      <c r="C8" s="1" t="n">
        <v>45916</v>
      </c>
      <c r="D8" t="inlineStr">
        <is>
          <t>SKÅNE LÄN</t>
        </is>
      </c>
      <c r="E8" t="inlineStr">
        <is>
          <t>HELSINGBORG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8194-2025</t>
        </is>
      </c>
      <c r="B9" s="1" t="n">
        <v>45708</v>
      </c>
      <c r="C9" s="1" t="n">
        <v>45916</v>
      </c>
      <c r="D9" t="inlineStr">
        <is>
          <t>SKÅNE LÄN</t>
        </is>
      </c>
      <c r="E9" t="inlineStr">
        <is>
          <t>HELSINGBORG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28288-2023</t>
        </is>
      </c>
      <c r="B10" s="1" t="n">
        <v>45099.6349537037</v>
      </c>
      <c r="C10" s="1" t="n">
        <v>45916</v>
      </c>
      <c r="D10" t="inlineStr">
        <is>
          <t>SKÅNE LÄN</t>
        </is>
      </c>
      <c r="E10" t="inlineStr">
        <is>
          <t>HELSINGBORG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5792-2024</t>
        </is>
      </c>
      <c r="B11" s="1" t="n">
        <v>45335</v>
      </c>
      <c r="C11" s="1" t="n">
        <v>45916</v>
      </c>
      <c r="D11" t="inlineStr">
        <is>
          <t>SKÅNE LÄN</t>
        </is>
      </c>
      <c r="E11" t="inlineStr">
        <is>
          <t>HELSINGBORG</t>
        </is>
      </c>
      <c r="G11" t="n">
        <v>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13651-2023</t>
        </is>
      </c>
      <c r="B12" s="1" t="n">
        <v>45006</v>
      </c>
      <c r="C12" s="1" t="n">
        <v>45916</v>
      </c>
      <c r="D12" t="inlineStr">
        <is>
          <t>SKÅNE LÄN</t>
        </is>
      </c>
      <c r="E12" t="inlineStr">
        <is>
          <t>HELSINGBORG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7333-2025</t>
        </is>
      </c>
      <c r="B13" s="1" t="n">
        <v>45703.35899305555</v>
      </c>
      <c r="C13" s="1" t="n">
        <v>45916</v>
      </c>
      <c r="D13" t="inlineStr">
        <is>
          <t>SKÅNE LÄN</t>
        </is>
      </c>
      <c r="E13" t="inlineStr">
        <is>
          <t>HELSINGBORG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35642-2023</t>
        </is>
      </c>
      <c r="B14" s="1" t="n">
        <v>45147</v>
      </c>
      <c r="C14" s="1" t="n">
        <v>45916</v>
      </c>
      <c r="D14" t="inlineStr">
        <is>
          <t>SKÅNE LÄN</t>
        </is>
      </c>
      <c r="E14" t="inlineStr">
        <is>
          <t>HELSINGBORG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2025-09-16T08:57:28Z</dcterms:created>
  <dcterms:modified xmlns:dcterms="http://purl.org/dc/terms/" xmlns:xsi="http://www.w3.org/2001/XMLSchema-instance" xsi:type="dcterms:W3CDTF">2025-09-16T08:57:28Z</dcterms:modified>
</cp:coreProperties>
</file>