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53008-2019</t>
        </is>
      </c>
      <c r="B2" s="1" t="n">
        <v>43747</v>
      </c>
      <c r="C2" s="1" t="n">
        <v>45710</v>
      </c>
      <c r="D2" t="inlineStr">
        <is>
          <t>SKÅNE LÄN</t>
        </is>
      </c>
      <c r="E2" t="inlineStr">
        <is>
          <t>HELSINGBORG</t>
        </is>
      </c>
      <c r="G2" t="n">
        <v>31.7</v>
      </c>
      <c r="H2" t="n">
        <v>14</v>
      </c>
      <c r="I2" t="n">
        <v>18</v>
      </c>
      <c r="J2" t="n">
        <v>22</v>
      </c>
      <c r="K2" t="n">
        <v>2</v>
      </c>
      <c r="L2" t="n">
        <v>2</v>
      </c>
      <c r="M2" t="n">
        <v>1</v>
      </c>
      <c r="N2" t="n">
        <v>0</v>
      </c>
      <c r="O2" t="n">
        <v>27</v>
      </c>
      <c r="P2" t="n">
        <v>5</v>
      </c>
      <c r="Q2" t="n">
        <v>54</v>
      </c>
      <c r="R2" s="2" t="inlineStr">
        <is>
          <t>Skogsalm
Ask
Blåsvart brunbagge
Gråtrut
Skillerticka
Bokvårtlav
Dvärgklokrypare
Dvärgstumpbagge
Fyrfläckad vedsvampbagge
Getinglik svampmygga
Gråbandad trägnagare
Gulsparv
Havsörn
Hålskenknäppare
Koralltaggsvamp
Kråka
Matt pricklav
Orangepudrad klotterlav
Plectophloeus nubigena
Skogsveronika
Skånebjörnbär
Stiftklotterlav
Synchita variegata
Trinodes hirtus
Tvåfärgad barksvartbagge
Vasstandad trädbasbagge
Violettgrå porlav
Blanksvart trämyra
Blåmossa
Grå skärelav
Guldlockmossa
Gulnål
Havstulpanlav
Hässleklocka
Lundvårlök
Noshornsoxe
Platt fjädermossa
Robust tickgnagare
Skogsbräsma
Skuggsprötmossa
Stor häxört
Stubbspretmossa
Trubbfjädermossa
Tvåblad
Västlig hakmossa
Dvärgpipistrell
Större brunfladdermus
Åkergroda
Vanlig groda
Vanlig padda
Getlav
Grönvit nattviol
Sankt pers nycklar
Blåsippa</t>
        </is>
      </c>
      <c r="S2">
        <f>HYPERLINK("https://klasma.github.io/Logging_1283/artfynd/A 53008-2019 artfynd.xlsx", "A 53008-2019")</f>
        <v/>
      </c>
      <c r="T2">
        <f>HYPERLINK("https://klasma.github.io/Logging_1283/kartor/A 53008-2019 karta.png", "A 53008-2019")</f>
        <v/>
      </c>
      <c r="V2">
        <f>HYPERLINK("https://klasma.github.io/Logging_1283/klagomål/A 53008-2019 FSC-klagomål.docx", "A 53008-2019")</f>
        <v/>
      </c>
      <c r="W2">
        <f>HYPERLINK("https://klasma.github.io/Logging_1283/klagomålsmail/A 53008-2019 FSC-klagomål mail.docx", "A 53008-2019")</f>
        <v/>
      </c>
      <c r="X2">
        <f>HYPERLINK("https://klasma.github.io/Logging_1283/tillsyn/A 53008-2019 tillsynsbegäran.docx", "A 53008-2019")</f>
        <v/>
      </c>
      <c r="Y2">
        <f>HYPERLINK("https://klasma.github.io/Logging_1283/tillsynsmail/A 53008-2019 tillsynsbegäran mail.docx", "A 53008-2019")</f>
        <v/>
      </c>
      <c r="Z2">
        <f>HYPERLINK("https://klasma.github.io/Logging_1283/fåglar/A 53008-2019 prioriterade fågelarter.docx", "A 53008-2019")</f>
        <v/>
      </c>
    </row>
    <row r="3" ht="15" customHeight="1">
      <c r="A3" t="inlineStr">
        <is>
          <t>A 63942-2020</t>
        </is>
      </c>
      <c r="B3" s="1" t="n">
        <v>44167</v>
      </c>
      <c r="C3" s="1" t="n">
        <v>45710</v>
      </c>
      <c r="D3" t="inlineStr">
        <is>
          <t>SKÅNE LÄN</t>
        </is>
      </c>
      <c r="E3" t="inlineStr">
        <is>
          <t>HELSINGBORG</t>
        </is>
      </c>
      <c r="G3" t="n">
        <v>4.5</v>
      </c>
      <c r="H3" t="n">
        <v>3</v>
      </c>
      <c r="I3" t="n">
        <v>7</v>
      </c>
      <c r="J3" t="n">
        <v>6</v>
      </c>
      <c r="K3" t="n">
        <v>1</v>
      </c>
      <c r="L3" t="n">
        <v>1</v>
      </c>
      <c r="M3" t="n">
        <v>0</v>
      </c>
      <c r="N3" t="n">
        <v>0</v>
      </c>
      <c r="O3" t="n">
        <v>9</v>
      </c>
      <c r="P3" t="n">
        <v>2</v>
      </c>
      <c r="Q3" t="n">
        <v>17</v>
      </c>
      <c r="R3" s="2" t="inlineStr">
        <is>
          <t>Grönfink
Stare
Bokvaxskivling
Elegant sköldlav
Hypoxylon petriniae
Hålnunneört
Sydlig sotticka
Tusengömming
Bokhätta
Blanksvart trämyra
Brandticka
Hagfingersvamp
Lömsk flugsvamp
Rikfruktig blemlav
Skuggsprötmossa
Stubbspretmossa
Gråkråka</t>
        </is>
      </c>
      <c r="S3">
        <f>HYPERLINK("https://klasma.github.io/Logging_1283/artfynd/A 63942-2020 artfynd.xlsx", "A 63942-2020")</f>
        <v/>
      </c>
      <c r="T3">
        <f>HYPERLINK("https://klasma.github.io/Logging_1283/kartor/A 63942-2020 karta.png", "A 63942-2020")</f>
        <v/>
      </c>
      <c r="V3">
        <f>HYPERLINK("https://klasma.github.io/Logging_1283/klagomål/A 63942-2020 FSC-klagomål.docx", "A 63942-2020")</f>
        <v/>
      </c>
      <c r="W3">
        <f>HYPERLINK("https://klasma.github.io/Logging_1283/klagomålsmail/A 63942-2020 FSC-klagomål mail.docx", "A 63942-2020")</f>
        <v/>
      </c>
      <c r="X3">
        <f>HYPERLINK("https://klasma.github.io/Logging_1283/tillsyn/A 63942-2020 tillsynsbegäran.docx", "A 63942-2020")</f>
        <v/>
      </c>
      <c r="Y3">
        <f>HYPERLINK("https://klasma.github.io/Logging_1283/tillsynsmail/A 63942-2020 tillsynsbegäran mail.docx", "A 63942-2020")</f>
        <v/>
      </c>
      <c r="Z3">
        <f>HYPERLINK("https://klasma.github.io/Logging_1283/fåglar/A 63942-2020 prioriterade fågelarter.docx", "A 63942-2020")</f>
        <v/>
      </c>
    </row>
    <row r="4" ht="15" customHeight="1">
      <c r="A4" t="inlineStr">
        <is>
          <t>A 5541-2021</t>
        </is>
      </c>
      <c r="B4" s="1" t="n">
        <v>44230</v>
      </c>
      <c r="C4" s="1" t="n">
        <v>45710</v>
      </c>
      <c r="D4" t="inlineStr">
        <is>
          <t>SKÅNE LÄN</t>
        </is>
      </c>
      <c r="E4" t="inlineStr">
        <is>
          <t>HELSINGBORG</t>
        </is>
      </c>
      <c r="G4" t="n">
        <v>10.2</v>
      </c>
      <c r="H4" t="n">
        <v>0</v>
      </c>
      <c r="I4" t="n">
        <v>5</v>
      </c>
      <c r="J4" t="n">
        <v>3</v>
      </c>
      <c r="K4" t="n">
        <v>0</v>
      </c>
      <c r="L4" t="n">
        <v>1</v>
      </c>
      <c r="M4" t="n">
        <v>0</v>
      </c>
      <c r="N4" t="n">
        <v>0</v>
      </c>
      <c r="O4" t="n">
        <v>4</v>
      </c>
      <c r="P4" t="n">
        <v>1</v>
      </c>
      <c r="Q4" t="n">
        <v>9</v>
      </c>
      <c r="R4" s="2" t="inlineStr">
        <is>
          <t>Ask
Bokvårtlav
Matt pricklav
Oxtungssvamp
Grå skärelav
Lönnlav
Skuggsprötmossa
Stubbspretmossa
Trubbfjädermossa</t>
        </is>
      </c>
      <c r="S4">
        <f>HYPERLINK("https://klasma.github.io/Logging_1283/artfynd/A 5541-2021 artfynd.xlsx", "A 5541-2021")</f>
        <v/>
      </c>
      <c r="T4">
        <f>HYPERLINK("https://klasma.github.io/Logging_1283/kartor/A 5541-2021 karta.png", "A 5541-2021")</f>
        <v/>
      </c>
      <c r="V4">
        <f>HYPERLINK("https://klasma.github.io/Logging_1283/klagomål/A 5541-2021 FSC-klagomål.docx", "A 5541-2021")</f>
        <v/>
      </c>
      <c r="W4">
        <f>HYPERLINK("https://klasma.github.io/Logging_1283/klagomålsmail/A 5541-2021 FSC-klagomål mail.docx", "A 5541-2021")</f>
        <v/>
      </c>
      <c r="X4">
        <f>HYPERLINK("https://klasma.github.io/Logging_1283/tillsyn/A 5541-2021 tillsynsbegäran.docx", "A 5541-2021")</f>
        <v/>
      </c>
      <c r="Y4">
        <f>HYPERLINK("https://klasma.github.io/Logging_1283/tillsynsmail/A 5541-2021 tillsynsbegäran mail.docx", "A 5541-2021")</f>
        <v/>
      </c>
    </row>
    <row r="5" ht="15" customHeight="1">
      <c r="A5" t="inlineStr">
        <is>
          <t>A 13467-2023</t>
        </is>
      </c>
      <c r="B5" s="1" t="n">
        <v>45005</v>
      </c>
      <c r="C5" s="1" t="n">
        <v>45710</v>
      </c>
      <c r="D5" t="inlineStr">
        <is>
          <t>SKÅNE LÄN</t>
        </is>
      </c>
      <c r="E5" t="inlineStr">
        <is>
          <t>HELSINGBORG</t>
        </is>
      </c>
      <c r="G5" t="n">
        <v>2.3</v>
      </c>
      <c r="H5" t="n">
        <v>2</v>
      </c>
      <c r="I5" t="n">
        <v>2</v>
      </c>
      <c r="J5" t="n">
        <v>3</v>
      </c>
      <c r="K5" t="n">
        <v>0</v>
      </c>
      <c r="L5" t="n">
        <v>0</v>
      </c>
      <c r="M5" t="n">
        <v>0</v>
      </c>
      <c r="N5" t="n">
        <v>0</v>
      </c>
      <c r="O5" t="n">
        <v>3</v>
      </c>
      <c r="P5" t="n">
        <v>0</v>
      </c>
      <c r="Q5" t="n">
        <v>5</v>
      </c>
      <c r="R5" s="2" t="inlineStr">
        <is>
          <t>Gulsparv
Hypoxylon petriniae
Kråka
Grå skärelav
Gulnål</t>
        </is>
      </c>
      <c r="S5">
        <f>HYPERLINK("https://klasma.github.io/Logging_1283/artfynd/A 13467-2023 artfynd.xlsx", "A 13467-2023")</f>
        <v/>
      </c>
      <c r="T5">
        <f>HYPERLINK("https://klasma.github.io/Logging_1283/kartor/A 13467-2023 karta.png", "A 13467-2023")</f>
        <v/>
      </c>
      <c r="V5">
        <f>HYPERLINK("https://klasma.github.io/Logging_1283/klagomål/A 13467-2023 FSC-klagomål.docx", "A 13467-2023")</f>
        <v/>
      </c>
      <c r="W5">
        <f>HYPERLINK("https://klasma.github.io/Logging_1283/klagomålsmail/A 13467-2023 FSC-klagomål mail.docx", "A 13467-2023")</f>
        <v/>
      </c>
      <c r="X5">
        <f>HYPERLINK("https://klasma.github.io/Logging_1283/tillsyn/A 13467-2023 tillsynsbegäran.docx", "A 13467-2023")</f>
        <v/>
      </c>
      <c r="Y5">
        <f>HYPERLINK("https://klasma.github.io/Logging_1283/tillsynsmail/A 13467-2023 tillsynsbegäran mail.docx", "A 13467-2023")</f>
        <v/>
      </c>
      <c r="Z5">
        <f>HYPERLINK("https://klasma.github.io/Logging_1283/fåglar/A 13467-2023 prioriterade fågelarter.docx", "A 13467-2023")</f>
        <v/>
      </c>
    </row>
    <row r="6" ht="15" customHeight="1">
      <c r="A6" t="inlineStr">
        <is>
          <t>A 45832-2023</t>
        </is>
      </c>
      <c r="B6" s="1" t="n">
        <v>45195</v>
      </c>
      <c r="C6" s="1" t="n">
        <v>45710</v>
      </c>
      <c r="D6" t="inlineStr">
        <is>
          <t>SKÅNE LÄN</t>
        </is>
      </c>
      <c r="E6" t="inlineStr">
        <is>
          <t>HELSINGBORG</t>
        </is>
      </c>
      <c r="G6" t="n">
        <v>2.3</v>
      </c>
      <c r="H6" t="n">
        <v>0</v>
      </c>
      <c r="I6" t="n">
        <v>0</v>
      </c>
      <c r="J6" t="n">
        <v>1</v>
      </c>
      <c r="K6" t="n">
        <v>0</v>
      </c>
      <c r="L6" t="n">
        <v>0</v>
      </c>
      <c r="M6" t="n">
        <v>0</v>
      </c>
      <c r="N6" t="n">
        <v>0</v>
      </c>
      <c r="O6" t="n">
        <v>1</v>
      </c>
      <c r="P6" t="n">
        <v>0</v>
      </c>
      <c r="Q6" t="n">
        <v>1</v>
      </c>
      <c r="R6" s="2" t="inlineStr">
        <is>
          <t>Skånebjörnbär</t>
        </is>
      </c>
      <c r="S6">
        <f>HYPERLINK("https://klasma.github.io/Logging_1283/artfynd/A 45832-2023 artfynd.xlsx", "A 45832-2023")</f>
        <v/>
      </c>
      <c r="T6">
        <f>HYPERLINK("https://klasma.github.io/Logging_1283/kartor/A 45832-2023 karta.png", "A 45832-2023")</f>
        <v/>
      </c>
      <c r="V6">
        <f>HYPERLINK("https://klasma.github.io/Logging_1283/klagomål/A 45832-2023 FSC-klagomål.docx", "A 45832-2023")</f>
        <v/>
      </c>
      <c r="W6">
        <f>HYPERLINK("https://klasma.github.io/Logging_1283/klagomålsmail/A 45832-2023 FSC-klagomål mail.docx", "A 45832-2023")</f>
        <v/>
      </c>
      <c r="X6">
        <f>HYPERLINK("https://klasma.github.io/Logging_1283/tillsyn/A 45832-2023 tillsynsbegäran.docx", "A 45832-2023")</f>
        <v/>
      </c>
      <c r="Y6">
        <f>HYPERLINK("https://klasma.github.io/Logging_1283/tillsynsmail/A 45832-2023 tillsynsbegäran mail.docx", "A 45832-2023")</f>
        <v/>
      </c>
    </row>
    <row r="7" ht="15" customHeight="1">
      <c r="A7" t="inlineStr">
        <is>
          <t>A 53196-2019</t>
        </is>
      </c>
      <c r="B7" s="1" t="n">
        <v>43748</v>
      </c>
      <c r="C7" s="1" t="n">
        <v>45710</v>
      </c>
      <c r="D7" t="inlineStr">
        <is>
          <t>SKÅNE LÄN</t>
        </is>
      </c>
      <c r="E7" t="inlineStr">
        <is>
          <t>HELSINGBORG</t>
        </is>
      </c>
      <c r="G7" t="n">
        <v>1.6</v>
      </c>
      <c r="H7" t="n">
        <v>0</v>
      </c>
      <c r="I7" t="n">
        <v>0</v>
      </c>
      <c r="J7" t="n">
        <v>0</v>
      </c>
      <c r="K7" t="n">
        <v>0</v>
      </c>
      <c r="L7" t="n">
        <v>0</v>
      </c>
      <c r="M7" t="n">
        <v>0</v>
      </c>
      <c r="N7" t="n">
        <v>0</v>
      </c>
      <c r="O7" t="n">
        <v>0</v>
      </c>
      <c r="P7" t="n">
        <v>0</v>
      </c>
      <c r="Q7" t="n">
        <v>0</v>
      </c>
      <c r="R7" s="2" t="inlineStr"/>
    </row>
    <row r="8" ht="15" customHeight="1">
      <c r="A8" t="inlineStr">
        <is>
          <t>A 12651-2022</t>
        </is>
      </c>
      <c r="B8" s="1" t="n">
        <v>44641</v>
      </c>
      <c r="C8" s="1" t="n">
        <v>45710</v>
      </c>
      <c r="D8" t="inlineStr">
        <is>
          <t>SKÅNE LÄN</t>
        </is>
      </c>
      <c r="E8" t="inlineStr">
        <is>
          <t>HELSINGBORG</t>
        </is>
      </c>
      <c r="G8" t="n">
        <v>3.2</v>
      </c>
      <c r="H8" t="n">
        <v>0</v>
      </c>
      <c r="I8" t="n">
        <v>0</v>
      </c>
      <c r="J8" t="n">
        <v>0</v>
      </c>
      <c r="K8" t="n">
        <v>0</v>
      </c>
      <c r="L8" t="n">
        <v>0</v>
      </c>
      <c r="M8" t="n">
        <v>0</v>
      </c>
      <c r="N8" t="n">
        <v>0</v>
      </c>
      <c r="O8" t="n">
        <v>0</v>
      </c>
      <c r="P8" t="n">
        <v>0</v>
      </c>
      <c r="Q8" t="n">
        <v>0</v>
      </c>
      <c r="R8" s="2" t="inlineStr"/>
    </row>
    <row r="9" ht="15" customHeight="1">
      <c r="A9" t="inlineStr">
        <is>
          <t>A 24227-2022</t>
        </is>
      </c>
      <c r="B9" s="1" t="n">
        <v>44725</v>
      </c>
      <c r="C9" s="1" t="n">
        <v>45710</v>
      </c>
      <c r="D9" t="inlineStr">
        <is>
          <t>SKÅNE LÄN</t>
        </is>
      </c>
      <c r="E9" t="inlineStr">
        <is>
          <t>HELSINGBORG</t>
        </is>
      </c>
      <c r="G9" t="n">
        <v>1.7</v>
      </c>
      <c r="H9" t="n">
        <v>0</v>
      </c>
      <c r="I9" t="n">
        <v>0</v>
      </c>
      <c r="J9" t="n">
        <v>0</v>
      </c>
      <c r="K9" t="n">
        <v>0</v>
      </c>
      <c r="L9" t="n">
        <v>0</v>
      </c>
      <c r="M9" t="n">
        <v>0</v>
      </c>
      <c r="N9" t="n">
        <v>0</v>
      </c>
      <c r="O9" t="n">
        <v>0</v>
      </c>
      <c r="P9" t="n">
        <v>0</v>
      </c>
      <c r="Q9" t="n">
        <v>0</v>
      </c>
      <c r="R9" s="2" t="inlineStr"/>
    </row>
    <row r="10" ht="15" customHeight="1">
      <c r="A10" t="inlineStr">
        <is>
          <t>A 54431-2022</t>
        </is>
      </c>
      <c r="B10" s="1" t="n">
        <v>44880</v>
      </c>
      <c r="C10" s="1" t="n">
        <v>45710</v>
      </c>
      <c r="D10" t="inlineStr">
        <is>
          <t>SKÅNE LÄN</t>
        </is>
      </c>
      <c r="E10" t="inlineStr">
        <is>
          <t>HELSINGBORG</t>
        </is>
      </c>
      <c r="F10" t="inlineStr">
        <is>
          <t>Kommuner</t>
        </is>
      </c>
      <c r="G10" t="n">
        <v>1.4</v>
      </c>
      <c r="H10" t="n">
        <v>0</v>
      </c>
      <c r="I10" t="n">
        <v>0</v>
      </c>
      <c r="J10" t="n">
        <v>0</v>
      </c>
      <c r="K10" t="n">
        <v>0</v>
      </c>
      <c r="L10" t="n">
        <v>0</v>
      </c>
      <c r="M10" t="n">
        <v>0</v>
      </c>
      <c r="N10" t="n">
        <v>0</v>
      </c>
      <c r="O10" t="n">
        <v>0</v>
      </c>
      <c r="P10" t="n">
        <v>0</v>
      </c>
      <c r="Q10" t="n">
        <v>0</v>
      </c>
      <c r="R10" s="2" t="inlineStr"/>
    </row>
    <row r="11" ht="15" customHeight="1">
      <c r="A11" t="inlineStr">
        <is>
          <t>A 13651-2023</t>
        </is>
      </c>
      <c r="B11" s="1" t="n">
        <v>45006</v>
      </c>
      <c r="C11" s="1" t="n">
        <v>45710</v>
      </c>
      <c r="D11" t="inlineStr">
        <is>
          <t>SKÅNE LÄN</t>
        </is>
      </c>
      <c r="E11" t="inlineStr">
        <is>
          <t>HELSINGBORG</t>
        </is>
      </c>
      <c r="G11" t="n">
        <v>2.2</v>
      </c>
      <c r="H11" t="n">
        <v>0</v>
      </c>
      <c r="I11" t="n">
        <v>0</v>
      </c>
      <c r="J11" t="n">
        <v>0</v>
      </c>
      <c r="K11" t="n">
        <v>0</v>
      </c>
      <c r="L11" t="n">
        <v>0</v>
      </c>
      <c r="M11" t="n">
        <v>0</v>
      </c>
      <c r="N11" t="n">
        <v>0</v>
      </c>
      <c r="O11" t="n">
        <v>0</v>
      </c>
      <c r="P11" t="n">
        <v>0</v>
      </c>
      <c r="Q11" t="n">
        <v>0</v>
      </c>
      <c r="R11" s="2" t="inlineStr"/>
    </row>
    <row r="12" ht="15" customHeight="1">
      <c r="A12" t="inlineStr">
        <is>
          <t>A 13637-2023</t>
        </is>
      </c>
      <c r="B12" s="1" t="n">
        <v>45006</v>
      </c>
      <c r="C12" s="1" t="n">
        <v>45710</v>
      </c>
      <c r="D12" t="inlineStr">
        <is>
          <t>SKÅNE LÄN</t>
        </is>
      </c>
      <c r="E12" t="inlineStr">
        <is>
          <t>HELSINGBORG</t>
        </is>
      </c>
      <c r="G12" t="n">
        <v>0.8</v>
      </c>
      <c r="H12" t="n">
        <v>0</v>
      </c>
      <c r="I12" t="n">
        <v>0</v>
      </c>
      <c r="J12" t="n">
        <v>0</v>
      </c>
      <c r="K12" t="n">
        <v>0</v>
      </c>
      <c r="L12" t="n">
        <v>0</v>
      </c>
      <c r="M12" t="n">
        <v>0</v>
      </c>
      <c r="N12" t="n">
        <v>0</v>
      </c>
      <c r="O12" t="n">
        <v>0</v>
      </c>
      <c r="P12" t="n">
        <v>0</v>
      </c>
      <c r="Q12" t="n">
        <v>0</v>
      </c>
      <c r="R12" s="2" t="inlineStr"/>
    </row>
    <row r="13" ht="15" customHeight="1">
      <c r="A13" t="inlineStr">
        <is>
          <t>A 28250-2023</t>
        </is>
      </c>
      <c r="B13" s="1" t="n">
        <v>45099</v>
      </c>
      <c r="C13" s="1" t="n">
        <v>45710</v>
      </c>
      <c r="D13" t="inlineStr">
        <is>
          <t>SKÅNE LÄN</t>
        </is>
      </c>
      <c r="E13" t="inlineStr">
        <is>
          <t>HELSINGBORG</t>
        </is>
      </c>
      <c r="G13" t="n">
        <v>0.9</v>
      </c>
      <c r="H13" t="n">
        <v>0</v>
      </c>
      <c r="I13" t="n">
        <v>0</v>
      </c>
      <c r="J13" t="n">
        <v>0</v>
      </c>
      <c r="K13" t="n">
        <v>0</v>
      </c>
      <c r="L13" t="n">
        <v>0</v>
      </c>
      <c r="M13" t="n">
        <v>0</v>
      </c>
      <c r="N13" t="n">
        <v>0</v>
      </c>
      <c r="O13" t="n">
        <v>0</v>
      </c>
      <c r="P13" t="n">
        <v>0</v>
      </c>
      <c r="Q13" t="n">
        <v>0</v>
      </c>
      <c r="R13" s="2" t="inlineStr"/>
    </row>
    <row r="14" ht="15" customHeight="1">
      <c r="A14" t="inlineStr">
        <is>
          <t>A 28288-2023</t>
        </is>
      </c>
      <c r="B14" s="1" t="n">
        <v>45099</v>
      </c>
      <c r="C14" s="1" t="n">
        <v>45710</v>
      </c>
      <c r="D14" t="inlineStr">
        <is>
          <t>SKÅNE LÄN</t>
        </is>
      </c>
      <c r="E14" t="inlineStr">
        <is>
          <t>HELSINGBORG</t>
        </is>
      </c>
      <c r="G14" t="n">
        <v>0.5</v>
      </c>
      <c r="H14" t="n">
        <v>0</v>
      </c>
      <c r="I14" t="n">
        <v>0</v>
      </c>
      <c r="J14" t="n">
        <v>0</v>
      </c>
      <c r="K14" t="n">
        <v>0</v>
      </c>
      <c r="L14" t="n">
        <v>0</v>
      </c>
      <c r="M14" t="n">
        <v>0</v>
      </c>
      <c r="N14" t="n">
        <v>0</v>
      </c>
      <c r="O14" t="n">
        <v>0</v>
      </c>
      <c r="P14" t="n">
        <v>0</v>
      </c>
      <c r="Q14" t="n">
        <v>0</v>
      </c>
      <c r="R14" s="2" t="inlineStr"/>
    </row>
    <row r="15" ht="15" customHeight="1">
      <c r="A15" t="inlineStr">
        <is>
          <t>A 35642-2023</t>
        </is>
      </c>
      <c r="B15" s="1" t="n">
        <v>45147</v>
      </c>
      <c r="C15" s="1" t="n">
        <v>45710</v>
      </c>
      <c r="D15" t="inlineStr">
        <is>
          <t>SKÅNE LÄN</t>
        </is>
      </c>
      <c r="E15" t="inlineStr">
        <is>
          <t>HELSINGBORG</t>
        </is>
      </c>
      <c r="G15" t="n">
        <v>1.2</v>
      </c>
      <c r="H15" t="n">
        <v>0</v>
      </c>
      <c r="I15" t="n">
        <v>0</v>
      </c>
      <c r="J15" t="n">
        <v>0</v>
      </c>
      <c r="K15" t="n">
        <v>0</v>
      </c>
      <c r="L15" t="n">
        <v>0</v>
      </c>
      <c r="M15" t="n">
        <v>0</v>
      </c>
      <c r="N15" t="n">
        <v>0</v>
      </c>
      <c r="O15" t="n">
        <v>0</v>
      </c>
      <c r="P15" t="n">
        <v>0</v>
      </c>
      <c r="Q15" t="n">
        <v>0</v>
      </c>
      <c r="R15" s="2" t="inlineStr"/>
    </row>
    <row r="16" ht="15" customHeight="1">
      <c r="A16" t="inlineStr">
        <is>
          <t>A 2593-2024</t>
        </is>
      </c>
      <c r="B16" s="1" t="n">
        <v>45313</v>
      </c>
      <c r="C16" s="1" t="n">
        <v>45710</v>
      </c>
      <c r="D16" t="inlineStr">
        <is>
          <t>SKÅNE LÄN</t>
        </is>
      </c>
      <c r="E16" t="inlineStr">
        <is>
          <t>HELSINGBORG</t>
        </is>
      </c>
      <c r="G16" t="n">
        <v>2.3</v>
      </c>
      <c r="H16" t="n">
        <v>0</v>
      </c>
      <c r="I16" t="n">
        <v>0</v>
      </c>
      <c r="J16" t="n">
        <v>0</v>
      </c>
      <c r="K16" t="n">
        <v>0</v>
      </c>
      <c r="L16" t="n">
        <v>0</v>
      </c>
      <c r="M16" t="n">
        <v>0</v>
      </c>
      <c r="N16" t="n">
        <v>0</v>
      </c>
      <c r="O16" t="n">
        <v>0</v>
      </c>
      <c r="P16" t="n">
        <v>0</v>
      </c>
      <c r="Q16" t="n">
        <v>0</v>
      </c>
      <c r="R16" s="2" t="inlineStr"/>
    </row>
    <row r="17" ht="15" customHeight="1">
      <c r="A17" t="inlineStr">
        <is>
          <t>A 5792-2024</t>
        </is>
      </c>
      <c r="B17" s="1" t="n">
        <v>45335</v>
      </c>
      <c r="C17" s="1" t="n">
        <v>45710</v>
      </c>
      <c r="D17" t="inlineStr">
        <is>
          <t>SKÅNE LÄN</t>
        </is>
      </c>
      <c r="E17" t="inlineStr">
        <is>
          <t>HELSINGBORG</t>
        </is>
      </c>
      <c r="G17" t="n">
        <v>6.6</v>
      </c>
      <c r="H17" t="n">
        <v>0</v>
      </c>
      <c r="I17" t="n">
        <v>0</v>
      </c>
      <c r="J17" t="n">
        <v>0</v>
      </c>
      <c r="K17" t="n">
        <v>0</v>
      </c>
      <c r="L17" t="n">
        <v>0</v>
      </c>
      <c r="M17" t="n">
        <v>0</v>
      </c>
      <c r="N17" t="n">
        <v>0</v>
      </c>
      <c r="O17" t="n">
        <v>0</v>
      </c>
      <c r="P17" t="n">
        <v>0</v>
      </c>
      <c r="Q17" t="n">
        <v>0</v>
      </c>
      <c r="R17" s="2" t="inlineStr"/>
    </row>
    <row r="18" ht="15" customHeight="1">
      <c r="A18" t="inlineStr">
        <is>
          <t>A 7333-2025</t>
        </is>
      </c>
      <c r="B18" s="1" t="n">
        <v>45703</v>
      </c>
      <c r="C18" s="1" t="n">
        <v>45710</v>
      </c>
      <c r="D18" t="inlineStr">
        <is>
          <t>SKÅNE LÄN</t>
        </is>
      </c>
      <c r="E18" t="inlineStr">
        <is>
          <t>HELSINGBORG</t>
        </is>
      </c>
      <c r="G18" t="n">
        <v>0.9</v>
      </c>
      <c r="H18" t="n">
        <v>0</v>
      </c>
      <c r="I18" t="n">
        <v>0</v>
      </c>
      <c r="J18" t="n">
        <v>0</v>
      </c>
      <c r="K18" t="n">
        <v>0</v>
      </c>
      <c r="L18" t="n">
        <v>0</v>
      </c>
      <c r="M18" t="n">
        <v>0</v>
      </c>
      <c r="N18" t="n">
        <v>0</v>
      </c>
      <c r="O18" t="n">
        <v>0</v>
      </c>
      <c r="P18" t="n">
        <v>0</v>
      </c>
      <c r="Q18" t="n">
        <v>0</v>
      </c>
      <c r="R18" s="2" t="inlineStr"/>
    </row>
    <row r="19">
      <c r="A19" t="inlineStr">
        <is>
          <t>A 8194-2025</t>
        </is>
      </c>
      <c r="B19" s="1" t="n">
        <v>45708</v>
      </c>
      <c r="C19" s="1" t="n">
        <v>45710</v>
      </c>
      <c r="D19" t="inlineStr">
        <is>
          <t>SKÅNE LÄN</t>
        </is>
      </c>
      <c r="E19" t="inlineStr">
        <is>
          <t>HELSINGBORG</t>
        </is>
      </c>
      <c r="G19" t="n">
        <v>1.9</v>
      </c>
      <c r="H19" t="n">
        <v>0</v>
      </c>
      <c r="I19" t="n">
        <v>0</v>
      </c>
      <c r="J19" t="n">
        <v>0</v>
      </c>
      <c r="K19" t="n">
        <v>0</v>
      </c>
      <c r="L19" t="n">
        <v>0</v>
      </c>
      <c r="M19" t="n">
        <v>0</v>
      </c>
      <c r="N19" t="n">
        <v>0</v>
      </c>
      <c r="O19" t="n">
        <v>0</v>
      </c>
      <c r="P19" t="n">
        <v>0</v>
      </c>
      <c r="Q19" t="n">
        <v>0</v>
      </c>
      <c r="R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2025-02-22T16:22:23Z</dcterms:created>
  <dcterms:modified xmlns:dcterms="http://purl.org/dc/terms/" xmlns:xsi="http://www.w3.org/2001/XMLSchema-instance" xsi:type="dcterms:W3CDTF">2025-02-22T16:22:23Z</dcterms:modified>
</cp:coreProperties>
</file>