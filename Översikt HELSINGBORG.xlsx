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13467-2023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45005</v>
      </c>
      <c r="E2" s="1" t="n">
        <v>46305</v>
      </c>
      <c r="F2" t="inlineStr">
        <is>
          <t>SKÅNE LÄN</t>
        </is>
      </c>
      <c r="G2" t="inlineStr">
        <is>
          <t>HELSINGBORG</t>
        </is>
      </c>
      <c r="I2" t="n">
        <v>2.3</v>
      </c>
      <c r="J2" t="n">
        <v>2</v>
      </c>
      <c r="K2" t="n">
        <v>2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4</v>
      </c>
      <c r="T2" t="n">
        <v>6</v>
      </c>
      <c r="U2" t="n">
        <v>6</v>
      </c>
      <c r="V2" s="2" t="inlineStr">
        <is>
          <t>Gulsparv
Grå skärelav
Gulnål
Kråka</t>
        </is>
      </c>
      <c r="W2">
        <f>HYPERLINK("https://klasma.github.io/Logging_1283/artfynd/A 13467-2023 artfynd.xlsx", "A 13467-2023")</f>
        <v/>
      </c>
      <c r="X2">
        <f>HYPERLINK("https://klasma.github.io/Logging_1283/kartor/A 13467-2023 karta.png", "A 13467-2023")</f>
        <v/>
      </c>
      <c r="Y2">
        <f>HYPERLINK("https://klasma.github.io/Logging_1283/kartor_geotiff/A 13467-2023 georefererad karta.tif", "A 13467-2023")</f>
        <v/>
      </c>
      <c r="AA2">
        <f>HYPERLINK("https://klasma.github.io/Logging_1283/klagomål/A 13467-2023 FSC-klagomål.docx", "A 13467-2023")</f>
        <v/>
      </c>
      <c r="AB2">
        <f>HYPERLINK("https://klasma.github.io/Logging_1283/klagomålsmail/A 13467-2023 FSC-klagomål mail.docx", "A 13467-2023")</f>
        <v/>
      </c>
      <c r="AC2">
        <f>HYPERLINK("https://klasma.github.io/Logging_1283/tillsyn/A 13467-2023 tillsynsbegäran.docx", "A 13467-2023")</f>
        <v/>
      </c>
      <c r="AD2">
        <f>HYPERLINK("https://klasma.github.io/Logging_1283/tillsynsmail/A 13467-2023 tillsynsbegäran mail.docx", "A 13467-2023")</f>
        <v/>
      </c>
      <c r="AE2">
        <f>HYPERLINK("https://klasma.github.io/Logging_1283/fåglar/A 13467-2023 prioriterade fågelarter.docx", "A 13467-2023")</f>
        <v/>
      </c>
    </row>
    <row r="3" ht="15" customHeight="1">
      <c r="A3" t="inlineStr">
        <is>
          <t>A 35642-2023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45147</v>
      </c>
      <c r="E3" s="1" t="n">
        <v>46305</v>
      </c>
      <c r="F3" t="inlineStr">
        <is>
          <t>SKÅNE LÄN</t>
        </is>
      </c>
      <c r="G3" t="inlineStr">
        <is>
          <t>HELSINGBORG</t>
        </is>
      </c>
      <c r="I3" t="n">
        <v>1.2</v>
      </c>
      <c r="J3" t="n">
        <v>1</v>
      </c>
      <c r="K3" t="n">
        <v>0</v>
      </c>
      <c r="L3" t="n">
        <v>0</v>
      </c>
      <c r="M3" t="n">
        <v>1</v>
      </c>
      <c r="N3" t="n">
        <v>1</v>
      </c>
      <c r="O3" t="n">
        <v>0</v>
      </c>
      <c r="P3" t="n">
        <v>0</v>
      </c>
      <c r="Q3" t="n">
        <v>2</v>
      </c>
      <c r="R3" t="n">
        <v>2</v>
      </c>
      <c r="S3" t="n">
        <v>3</v>
      </c>
      <c r="T3" t="n">
        <v>3</v>
      </c>
      <c r="U3" t="n">
        <v>3</v>
      </c>
      <c r="V3" s="2" t="inlineStr">
        <is>
          <t>Skorpplätt
Igelkott
Vanlig padda</t>
        </is>
      </c>
      <c r="W3">
        <f>HYPERLINK("https://klasma.github.io/Logging_1283/artfynd/A 35642-2023 artfynd.xlsx", "A 35642-2023")</f>
        <v/>
      </c>
      <c r="X3">
        <f>HYPERLINK("https://klasma.github.io/Logging_1283/kartor/A 35642-2023 karta.png", "A 35642-2023")</f>
        <v/>
      </c>
      <c r="Y3">
        <f>HYPERLINK("https://klasma.github.io/Logging_1283/kartor_geotiff/A 35642-2023 georefererad karta.tif", "A 35642-2023")</f>
        <v/>
      </c>
      <c r="AA3">
        <f>HYPERLINK("https://klasma.github.io/Logging_1283/klagomål/A 35642-2023 FSC-klagomål.docx", "A 35642-2023")</f>
        <v/>
      </c>
      <c r="AB3">
        <f>HYPERLINK("https://klasma.github.io/Logging_1283/klagomålsmail/A 35642-2023 FSC-klagomål mail.docx", "A 35642-2023")</f>
        <v/>
      </c>
      <c r="AC3">
        <f>HYPERLINK("https://klasma.github.io/Logging_1283/tillsyn/A 35642-2023 tillsynsbegäran.docx", "A 35642-2023")</f>
        <v/>
      </c>
      <c r="AD3">
        <f>HYPERLINK("https://klasma.github.io/Logging_1283/tillsynsmail/A 35642-2023 tillsynsbegäran mail.docx", "A 35642-2023")</f>
        <v/>
      </c>
    </row>
    <row r="4" ht="15" customHeight="1">
      <c r="A4" t="inlineStr">
        <is>
          <t>A 12651-2022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44641</v>
      </c>
      <c r="E4" s="1" t="n">
        <v>46305</v>
      </c>
      <c r="F4" t="inlineStr">
        <is>
          <t>SKÅNE LÄN</t>
        </is>
      </c>
      <c r="G4" t="inlineStr">
        <is>
          <t>HELSINGBORG</t>
        </is>
      </c>
      <c r="I4" t="n">
        <v>3.2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Gullpudra</t>
        </is>
      </c>
      <c r="W4">
        <f>HYPERLINK("https://klasma.github.io/Logging_1283/artfynd/A 12651-2022 artfynd.xlsx", "A 12651-2022")</f>
        <v/>
      </c>
      <c r="X4">
        <f>HYPERLINK("https://klasma.github.io/Logging_1283/kartor/A 12651-2022 karta.png", "A 12651-2022")</f>
        <v/>
      </c>
      <c r="Y4">
        <f>HYPERLINK("https://klasma.github.io/Logging_1283/kartor_geotiff/A 12651-2022 georefererad karta.tif", "A 12651-2022")</f>
        <v/>
      </c>
      <c r="AA4">
        <f>HYPERLINK("https://klasma.github.io/Logging_1283/klagomål/A 12651-2022 FSC-klagomål.docx", "A 12651-2022")</f>
        <v/>
      </c>
      <c r="AB4">
        <f>HYPERLINK("https://klasma.github.io/Logging_1283/klagomålsmail/A 12651-2022 FSC-klagomål mail.docx", "A 12651-2022")</f>
        <v/>
      </c>
      <c r="AC4">
        <f>HYPERLINK("https://klasma.github.io/Logging_1283/tillsyn/A 12651-2022 tillsynsbegäran.docx", "A 12651-2022")</f>
        <v/>
      </c>
      <c r="AD4">
        <f>HYPERLINK("https://klasma.github.io/Logging_1283/tillsynsmail/A 12651-2022 tillsynsbegäran mail.docx", "A 12651-2022")</f>
        <v/>
      </c>
    </row>
    <row r="5" ht="15" customHeight="1">
      <c r="A5" t="inlineStr">
        <is>
          <t>A 24227-2022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44725</v>
      </c>
      <c r="E5" s="1" t="n">
        <v>46305</v>
      </c>
      <c r="F5" t="inlineStr">
        <is>
          <t>SKÅNE LÄN</t>
        </is>
      </c>
      <c r="G5" t="inlineStr">
        <is>
          <t>HELSINGBORG</t>
        </is>
      </c>
      <c r="I5" t="n">
        <v>1.7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5792-2024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45335</v>
      </c>
      <c r="E6" s="1" t="n">
        <v>46305</v>
      </c>
      <c r="F6" t="inlineStr">
        <is>
          <t>SKÅNE LÄN</t>
        </is>
      </c>
      <c r="G6" t="inlineStr">
        <is>
          <t>HELSINGBORG</t>
        </is>
      </c>
      <c r="I6" t="n">
        <v>5.6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45832-2023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45195</v>
      </c>
      <c r="E7" s="1" t="n">
        <v>46305</v>
      </c>
      <c r="F7" t="inlineStr">
        <is>
          <t>SKÅNE LÄN</t>
        </is>
      </c>
      <c r="G7" t="inlineStr">
        <is>
          <t>HELSINGBORG</t>
        </is>
      </c>
      <c r="I7" t="n">
        <v>2.3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13651-2023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45006</v>
      </c>
      <c r="E8" s="1" t="n">
        <v>46305</v>
      </c>
      <c r="F8" t="inlineStr">
        <is>
          <t>SKÅNE LÄN</t>
        </is>
      </c>
      <c r="G8" t="inlineStr">
        <is>
          <t>HELSINGBORG</t>
        </is>
      </c>
      <c r="I8" t="n">
        <v>2.2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8194-2025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45708</v>
      </c>
      <c r="E9" s="1" t="n">
        <v>46305</v>
      </c>
      <c r="F9" t="inlineStr">
        <is>
          <t>SKÅNE LÄN</t>
        </is>
      </c>
      <c r="G9" t="inlineStr">
        <is>
          <t>HELSINGBORG</t>
        </is>
      </c>
      <c r="I9" t="n">
        <v>1.9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2593-2024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45313</v>
      </c>
      <c r="E10" s="1" t="n">
        <v>46305</v>
      </c>
      <c r="F10" t="inlineStr">
        <is>
          <t>SKÅNE LÄN</t>
        </is>
      </c>
      <c r="G10" t="inlineStr">
        <is>
          <t>HELSINGBORG</t>
        </is>
      </c>
      <c r="I10" t="n">
        <v>2.3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7333-2025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45703</v>
      </c>
      <c r="E11" s="1" t="n">
        <v>46305</v>
      </c>
      <c r="F11" t="inlineStr">
        <is>
          <t>SKÅNE LÄN</t>
        </is>
      </c>
      <c r="G11" t="inlineStr">
        <is>
          <t>HELSINGBORG</t>
        </is>
      </c>
      <c r="I11" t="n">
        <v>0.9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50997-2025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45946</v>
      </c>
      <c r="E12" s="1" t="n">
        <v>46305</v>
      </c>
      <c r="F12" t="inlineStr">
        <is>
          <t>SKÅNE LÄN</t>
        </is>
      </c>
      <c r="G12" t="inlineStr">
        <is>
          <t>HELSINGBORG</t>
        </is>
      </c>
      <c r="I12" t="n">
        <v>1.5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>
      <c r="A13" t="inlineStr">
        <is>
          <t>A 28288-2023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45099</v>
      </c>
      <c r="E13" s="1" t="n">
        <v>46305</v>
      </c>
      <c r="F13" t="inlineStr">
        <is>
          <t>SKÅNE LÄN</t>
        </is>
      </c>
      <c r="G13" t="inlineStr">
        <is>
          <t>HELSINGBORG</t>
        </is>
      </c>
      <c r="I13" t="n">
        <v>0.5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2026-10-10T02:04:58Z</dcterms:created>
  <dcterms:modified xmlns:dcterms="http://purl.org/dc/terms/" xmlns:xsi="http://www.w3.org/2001/XMLSchema-instance" xsi:type="dcterms:W3CDTF">2026-10-10T02:04:58Z</dcterms:modified>
</cp:coreProperties>
</file>