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13467-2023</t>
        </is>
      </c>
      <c r="B2" s="1" t="n">
        <v>45005</v>
      </c>
      <c r="C2" s="1" t="n">
        <v>46199</v>
      </c>
      <c r="D2" t="inlineStr">
        <is>
          <t>SKÅNE LÄN</t>
        </is>
      </c>
      <c r="E2" t="inlineStr">
        <is>
          <t>HELSINGBORG</t>
        </is>
      </c>
      <c r="G2" t="n">
        <v>2.3</v>
      </c>
      <c r="H2" t="n">
        <v>2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Gulsparv
Grå skärelav
Gulnål
Kråka</t>
        </is>
      </c>
      <c r="S2">
        <f>HYPERLINK("https://klasma.github.io/Logging_1283/artfynd/A 13467-2023 artfynd.xlsx", "A 13467-2023")</f>
        <v/>
      </c>
      <c r="T2">
        <f>HYPERLINK("https://klasma.github.io/Logging_1283/kartor/A 13467-2023 karta.png", "A 13467-2023")</f>
        <v/>
      </c>
      <c r="V2">
        <f>HYPERLINK("https://klasma.github.io/Logging_1283/klagomål/A 13467-2023 FSC-klagomål.docx", "A 13467-2023")</f>
        <v/>
      </c>
      <c r="W2">
        <f>HYPERLINK("https://klasma.github.io/Logging_1283/klagomålsmail/A 13467-2023 FSC-klagomål mail.docx", "A 13467-2023")</f>
        <v/>
      </c>
      <c r="X2">
        <f>HYPERLINK("https://klasma.github.io/Logging_1283/tillsyn/A 13467-2023 tillsynsbegäran.docx", "A 13467-2023")</f>
        <v/>
      </c>
      <c r="Y2">
        <f>HYPERLINK("https://klasma.github.io/Logging_1283/tillsynsmail/A 13467-2023 tillsynsbegäran mail.docx", "A 13467-2023")</f>
        <v/>
      </c>
      <c r="Z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s="1" t="n">
        <v>45147</v>
      </c>
      <c r="C3" s="1" t="n">
        <v>46199</v>
      </c>
      <c r="D3" t="inlineStr">
        <is>
          <t>SKÅNE LÄN</t>
        </is>
      </c>
      <c r="E3" t="inlineStr">
        <is>
          <t>HELSINGBORG</t>
        </is>
      </c>
      <c r="G3" t="n">
        <v>1.2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Skorpplätt
Igelkott
Vanlig padda</t>
        </is>
      </c>
      <c r="S3">
        <f>HYPERLINK("https://klasma.github.io/Logging_1283/artfynd/A 35642-2023 artfynd.xlsx", "A 35642-2023")</f>
        <v/>
      </c>
      <c r="T3">
        <f>HYPERLINK("https://klasma.github.io/Logging_1283/kartor/A 35642-2023 karta.png", "A 35642-2023")</f>
        <v/>
      </c>
      <c r="V3">
        <f>HYPERLINK("https://klasma.github.io/Logging_1283/klagomål/A 35642-2023 FSC-klagomål.docx", "A 35642-2023")</f>
        <v/>
      </c>
      <c r="W3">
        <f>HYPERLINK("https://klasma.github.io/Logging_1283/klagomålsmail/A 35642-2023 FSC-klagomål mail.docx", "A 35642-2023")</f>
        <v/>
      </c>
      <c r="X3">
        <f>HYPERLINK("https://klasma.github.io/Logging_1283/tillsyn/A 35642-2023 tillsynsbegäran.docx", "A 35642-2023")</f>
        <v/>
      </c>
      <c r="Y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s="1" t="n">
        <v>44641</v>
      </c>
      <c r="C4" s="1" t="n">
        <v>46199</v>
      </c>
      <c r="D4" t="inlineStr">
        <is>
          <t>SKÅNE LÄN</t>
        </is>
      </c>
      <c r="E4" t="inlineStr">
        <is>
          <t>HELSINGBORG</t>
        </is>
      </c>
      <c r="G4" t="n">
        <v>3.2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Gullpudra</t>
        </is>
      </c>
      <c r="S4">
        <f>HYPERLINK("https://klasma.github.io/Logging_1283/artfynd/A 12651-2022 artfynd.xlsx", "A 12651-2022")</f>
        <v/>
      </c>
      <c r="T4">
        <f>HYPERLINK("https://klasma.github.io/Logging_1283/kartor/A 12651-2022 karta.png", "A 12651-2022")</f>
        <v/>
      </c>
      <c r="V4">
        <f>HYPERLINK("https://klasma.github.io/Logging_1283/klagomål/A 12651-2022 FSC-klagomål.docx", "A 12651-2022")</f>
        <v/>
      </c>
      <c r="W4">
        <f>HYPERLINK("https://klasma.github.io/Logging_1283/klagomålsmail/A 12651-2022 FSC-klagomål mail.docx", "A 12651-2022")</f>
        <v/>
      </c>
      <c r="X4">
        <f>HYPERLINK("https://klasma.github.io/Logging_1283/tillsyn/A 12651-2022 tillsynsbegäran.docx", "A 12651-2022")</f>
        <v/>
      </c>
      <c r="Y4">
        <f>HYPERLINK("https://klasma.github.io/Logging_1283/tillsynsmail/A 12651-2022 tillsynsbegäran mail.docx", "A 12651-2022")</f>
        <v/>
      </c>
    </row>
    <row r="5" ht="15" customHeight="1">
      <c r="A5" t="inlineStr">
        <is>
          <t>A 7814-2026</t>
        </is>
      </c>
      <c r="B5" s="1" t="n">
        <v>46062</v>
      </c>
      <c r="C5" s="1" t="n">
        <v>46199</v>
      </c>
      <c r="D5" t="inlineStr">
        <is>
          <t>SKÅNE LÄN</t>
        </is>
      </c>
      <c r="E5" t="inlineStr">
        <is>
          <t>HELSINGBORG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Sadelrödrock</t>
        </is>
      </c>
      <c r="S5">
        <f>HYPERLINK("https://klasma.github.io/Logging_1283/artfynd/A 7814-2026 artfynd.xlsx", "A 7814-2026")</f>
        <v/>
      </c>
      <c r="T5">
        <f>HYPERLINK("https://klasma.github.io/Logging_1283/kartor/A 7814-2026 karta.png", "A 7814-2026")</f>
        <v/>
      </c>
      <c r="V5">
        <f>HYPERLINK("https://klasma.github.io/Logging_1283/klagomål/A 7814-2026 FSC-klagomål.docx", "A 7814-2026")</f>
        <v/>
      </c>
      <c r="W5">
        <f>HYPERLINK("https://klasma.github.io/Logging_1283/klagomålsmail/A 7814-2026 FSC-klagomål mail.docx", "A 7814-2026")</f>
        <v/>
      </c>
      <c r="X5">
        <f>HYPERLINK("https://klasma.github.io/Logging_1283/tillsyn/A 7814-2026 tillsynsbegäran.docx", "A 7814-2026")</f>
        <v/>
      </c>
      <c r="Y5">
        <f>HYPERLINK("https://klasma.github.io/Logging_1283/tillsynsmail/A 7814-2026 tillsynsbegäran mail.docx", "A 7814-2026")</f>
        <v/>
      </c>
    </row>
    <row r="6" ht="15" customHeight="1">
      <c r="A6" t="inlineStr">
        <is>
          <t>A 24227-2022</t>
        </is>
      </c>
      <c r="B6" s="1" t="n">
        <v>44725</v>
      </c>
      <c r="C6" s="1" t="n">
        <v>46199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5792-2024</t>
        </is>
      </c>
      <c r="B7" s="1" t="n">
        <v>45335</v>
      </c>
      <c r="C7" s="1" t="n">
        <v>46199</v>
      </c>
      <c r="D7" t="inlineStr">
        <is>
          <t>SKÅNE LÄN</t>
        </is>
      </c>
      <c r="E7" t="inlineStr">
        <is>
          <t>HELSINGBORG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45832-2023</t>
        </is>
      </c>
      <c r="B8" s="1" t="n">
        <v>45195</v>
      </c>
      <c r="C8" s="1" t="n">
        <v>46199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46199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50997-2025</t>
        </is>
      </c>
      <c r="B10" s="1" t="n">
        <v>45946</v>
      </c>
      <c r="C10" s="1" t="n">
        <v>46199</v>
      </c>
      <c r="D10" t="inlineStr">
        <is>
          <t>SKÅNE LÄN</t>
        </is>
      </c>
      <c r="E10" t="inlineStr">
        <is>
          <t>HELSINGBORG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2593-2024</t>
        </is>
      </c>
      <c r="B11" s="1" t="n">
        <v>45313</v>
      </c>
      <c r="C11" s="1" t="n">
        <v>46199</v>
      </c>
      <c r="D11" t="inlineStr">
        <is>
          <t>SKÅNE LÄN</t>
        </is>
      </c>
      <c r="E11" t="inlineStr">
        <is>
          <t>HELSINGBORG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7333-2025</t>
        </is>
      </c>
      <c r="B12" s="1" t="n">
        <v>45703</v>
      </c>
      <c r="C12" s="1" t="n">
        <v>46199</v>
      </c>
      <c r="D12" t="inlineStr">
        <is>
          <t>SKÅNE LÄN</t>
        </is>
      </c>
      <c r="E12" t="inlineStr">
        <is>
          <t>HELSINGBORG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28288-2023</t>
        </is>
      </c>
      <c r="B13" s="1" t="n">
        <v>45099</v>
      </c>
      <c r="C13" s="1" t="n">
        <v>46199</v>
      </c>
      <c r="D13" t="inlineStr">
        <is>
          <t>SKÅNE LÄN</t>
        </is>
      </c>
      <c r="E13" t="inlineStr">
        <is>
          <t>HELSINGBORG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13651-2023</t>
        </is>
      </c>
      <c r="B14" s="1" t="n">
        <v>45006</v>
      </c>
      <c r="C14" s="1" t="n">
        <v>46199</v>
      </c>
      <c r="D14" t="inlineStr">
        <is>
          <t>SKÅNE LÄN</t>
        </is>
      </c>
      <c r="E14" t="inlineStr">
        <is>
          <t>HELSINGBORG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2026-06-26T00:50:20Z</dcterms:created>
  <dcterms:modified xmlns:dcterms="http://purl.org/dc/terms/" xmlns:xsi="http://www.w3.org/2001/XMLSchema-instance" xsi:type="dcterms:W3CDTF">2026-06-26T00:50:20Z</dcterms:modified>
</cp:coreProperties>
</file>