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45847</v>
      </c>
      <c r="D2" t="inlineStr">
        <is>
          <t>SKÅNE LÄN</t>
        </is>
      </c>
      <c r="E2" t="inlineStr">
        <is>
          <t>HELSINGBORG</t>
        </is>
      </c>
      <c r="G2" t="n">
        <v>31.7</v>
      </c>
      <c r="H2" t="n">
        <v>15</v>
      </c>
      <c r="I2" t="n">
        <v>19</v>
      </c>
      <c r="J2" t="n">
        <v>22</v>
      </c>
      <c r="K2" t="n">
        <v>3</v>
      </c>
      <c r="L2" t="n">
        <v>2</v>
      </c>
      <c r="M2" t="n">
        <v>1</v>
      </c>
      <c r="N2" t="n">
        <v>0</v>
      </c>
      <c r="O2" t="n">
        <v>28</v>
      </c>
      <c r="P2" t="n">
        <v>6</v>
      </c>
      <c r="Q2" t="n">
        <v>57</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Järnsparv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45847</v>
      </c>
      <c r="D3" t="inlineStr">
        <is>
          <t>SKÅNE LÄN</t>
        </is>
      </c>
      <c r="E3" t="inlineStr">
        <is>
          <t>HELSINGBORG</t>
        </is>
      </c>
      <c r="G3" t="n">
        <v>4.5</v>
      </c>
      <c r="H3" t="n">
        <v>3</v>
      </c>
      <c r="I3" t="n">
        <v>7</v>
      </c>
      <c r="J3" t="n">
        <v>6</v>
      </c>
      <c r="K3" t="n">
        <v>1</v>
      </c>
      <c r="L3" t="n">
        <v>1</v>
      </c>
      <c r="M3" t="n">
        <v>0</v>
      </c>
      <c r="N3" t="n">
        <v>0</v>
      </c>
      <c r="O3" t="n">
        <v>9</v>
      </c>
      <c r="P3" t="n">
        <v>2</v>
      </c>
      <c r="Q3" t="n">
        <v>17</v>
      </c>
      <c r="R3" s="2" t="inlineStr">
        <is>
          <t>Grönfink
Stare
Bokvaxskivling
Elegant sköldlav
Hypoxylon petriniae
Hålnunneört
Sydlig sotticka
Tusengömming
Bokhätta
Blanksvart trämyra
Brandticka
Hagfingersvamp
Lömsk flugsvamp
Rikfruktig blemlav
Skuggsprötmossa
Stubbspretmossa
Gråkråka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45847</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45847</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45832-2023</t>
        </is>
      </c>
      <c r="B6" s="1" t="n">
        <v>45195</v>
      </c>
      <c r="C6" s="1" t="n">
        <v>45847</v>
      </c>
      <c r="D6" t="inlineStr">
        <is>
          <t>SKÅNE LÄN</t>
        </is>
      </c>
      <c r="E6" t="inlineStr">
        <is>
          <t>HELSINGBORG</t>
        </is>
      </c>
      <c r="G6" t="n">
        <v>2.3</v>
      </c>
      <c r="H6" t="n">
        <v>0</v>
      </c>
      <c r="I6" t="n">
        <v>0</v>
      </c>
      <c r="J6" t="n">
        <v>1</v>
      </c>
      <c r="K6" t="n">
        <v>0</v>
      </c>
      <c r="L6" t="n">
        <v>0</v>
      </c>
      <c r="M6" t="n">
        <v>0</v>
      </c>
      <c r="N6" t="n">
        <v>0</v>
      </c>
      <c r="O6" t="n">
        <v>1</v>
      </c>
      <c r="P6" t="n">
        <v>0</v>
      </c>
      <c r="Q6" t="n">
        <v>1</v>
      </c>
      <c r="R6" s="2" t="inlineStr">
        <is>
          <t>Skånebjörnbär</t>
        </is>
      </c>
      <c r="S6">
        <f>HYPERLINK("https://klasma.github.io/Logging_1283/artfynd/A 45832-2023 artfynd.xlsx", "A 45832-2023")</f>
        <v/>
      </c>
      <c r="T6">
        <f>HYPERLINK("https://klasma.github.io/Logging_1283/kartor/A 45832-2023 karta.png", "A 45832-2023")</f>
        <v/>
      </c>
      <c r="V6">
        <f>HYPERLINK("https://klasma.github.io/Logging_1283/klagomål/A 45832-2023 FSC-klagomål.docx", "A 45832-2023")</f>
        <v/>
      </c>
      <c r="W6">
        <f>HYPERLINK("https://klasma.github.io/Logging_1283/klagomålsmail/A 45832-2023 FSC-klagomål mail.docx", "A 45832-2023")</f>
        <v/>
      </c>
      <c r="X6">
        <f>HYPERLINK("https://klasma.github.io/Logging_1283/tillsyn/A 45832-2023 tillsynsbegäran.docx", "A 45832-2023")</f>
        <v/>
      </c>
      <c r="Y6">
        <f>HYPERLINK("https://klasma.github.io/Logging_1283/tillsynsmail/A 45832-2023 tillsynsbegäran mail.docx", "A 45832-2023")</f>
        <v/>
      </c>
    </row>
    <row r="7" ht="15" customHeight="1">
      <c r="A7" t="inlineStr">
        <is>
          <t>A 53196-2019</t>
        </is>
      </c>
      <c r="B7" s="1" t="n">
        <v>43748</v>
      </c>
      <c r="C7" s="1" t="n">
        <v>45847</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45847</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45847</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45847</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45847</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45847</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45847</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45847</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45847</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45847</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5792-2024</t>
        </is>
      </c>
      <c r="B17" s="1" t="n">
        <v>45335</v>
      </c>
      <c r="C17" s="1" t="n">
        <v>45847</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row r="18" ht="15" customHeight="1">
      <c r="A18" t="inlineStr">
        <is>
          <t>A 7333-2025</t>
        </is>
      </c>
      <c r="B18" s="1" t="n">
        <v>45703</v>
      </c>
      <c r="C18" s="1" t="n">
        <v>45847</v>
      </c>
      <c r="D18" t="inlineStr">
        <is>
          <t>SKÅNE LÄN</t>
        </is>
      </c>
      <c r="E18" t="inlineStr">
        <is>
          <t>HELSINGBORG</t>
        </is>
      </c>
      <c r="G18" t="n">
        <v>0.9</v>
      </c>
      <c r="H18" t="n">
        <v>0</v>
      </c>
      <c r="I18" t="n">
        <v>0</v>
      </c>
      <c r="J18" t="n">
        <v>0</v>
      </c>
      <c r="K18" t="n">
        <v>0</v>
      </c>
      <c r="L18" t="n">
        <v>0</v>
      </c>
      <c r="M18" t="n">
        <v>0</v>
      </c>
      <c r="N18" t="n">
        <v>0</v>
      </c>
      <c r="O18" t="n">
        <v>0</v>
      </c>
      <c r="P18" t="n">
        <v>0</v>
      </c>
      <c r="Q18" t="n">
        <v>0</v>
      </c>
      <c r="R18" s="2" t="inlineStr"/>
    </row>
    <row r="19">
      <c r="A19" t="inlineStr">
        <is>
          <t>A 8194-2025</t>
        </is>
      </c>
      <c r="B19" s="1" t="n">
        <v>45708</v>
      </c>
      <c r="C19" s="1" t="n">
        <v>45847</v>
      </c>
      <c r="D19" t="inlineStr">
        <is>
          <t>SKÅNE LÄN</t>
        </is>
      </c>
      <c r="E19" t="inlineStr">
        <is>
          <t>HELSINGBORG</t>
        </is>
      </c>
      <c r="G19" t="n">
        <v>1.9</v>
      </c>
      <c r="H19" t="n">
        <v>0</v>
      </c>
      <c r="I19" t="n">
        <v>0</v>
      </c>
      <c r="J19" t="n">
        <v>0</v>
      </c>
      <c r="K19" t="n">
        <v>0</v>
      </c>
      <c r="L19" t="n">
        <v>0</v>
      </c>
      <c r="M19" t="n">
        <v>0</v>
      </c>
      <c r="N19" t="n">
        <v>0</v>
      </c>
      <c r="O19" t="n">
        <v>0</v>
      </c>
      <c r="P19" t="n">
        <v>0</v>
      </c>
      <c r="Q19" t="n">
        <v>0</v>
      </c>
      <c r="R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2025-07-09T20:41:13Z</dcterms:created>
  <dcterms:modified xmlns:dcterms="http://purl.org/dc/terms/" xmlns:xsi="http://www.w3.org/2001/XMLSchema-instance" xsi:type="dcterms:W3CDTF">2025-07-09T20:41:13Z</dcterms:modified>
</cp:coreProperties>
</file>